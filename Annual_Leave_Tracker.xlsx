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1"/>
  <workbookPr/>
  <mc:AlternateContent xmlns:mc="http://schemas.openxmlformats.org/markup-compatibility/2006">
    <mc:Choice Requires="x15">
      <x15ac:absPath xmlns:x15ac="http://schemas.microsoft.com/office/spreadsheetml/2010/11/ac" url="C:\Users\pc\Desktop\Patients Satistics\"/>
    </mc:Choice>
  </mc:AlternateContent>
  <xr:revisionPtr revIDLastSave="0" documentId="8_{102A22B1-132D-4EB4-9B57-39FB5E718A9A}" xr6:coauthVersionLast="47" xr6:coauthVersionMax="47" xr10:uidLastSave="{00000000-0000-0000-0000-000000000000}"/>
  <bookViews>
    <workbookView xWindow="0" yWindow="0" windowWidth="24000" windowHeight="9735" xr2:uid="{00000000-000D-0000-FFFF-FFFF00000000}"/>
  </bookViews>
  <sheets>
    <sheet name="Annual_Leave_Tracker" sheetId="1" r:id="rId1"/>
    <sheet name="Public_Holidays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1" l="1"/>
  <c r="H15" i="1"/>
  <c r="I15" i="1"/>
  <c r="J15" i="1"/>
  <c r="M15" i="1"/>
  <c r="G5" i="1"/>
  <c r="H12" i="1"/>
  <c r="H5" i="1"/>
  <c r="M7" i="1" l="1"/>
  <c r="M8" i="1"/>
  <c r="M9" i="1"/>
  <c r="M10" i="1"/>
  <c r="M11" i="1"/>
  <c r="M12" i="1"/>
  <c r="C2" i="3" l="1"/>
  <c r="C3" i="3"/>
  <c r="C4" i="3"/>
  <c r="C5" i="3"/>
  <c r="C6" i="3"/>
  <c r="C7" i="3"/>
  <c r="C8" i="3"/>
  <c r="C9" i="3"/>
  <c r="C10" i="3"/>
  <c r="C11" i="3"/>
  <c r="C12" i="3"/>
  <c r="G8" i="1" l="1"/>
  <c r="G9" i="1"/>
  <c r="G10" i="1"/>
  <c r="G11" i="1"/>
  <c r="G12" i="1"/>
  <c r="G13" i="1"/>
  <c r="G14" i="1"/>
  <c r="H8" i="1"/>
  <c r="I8" i="1" s="1"/>
  <c r="H9" i="1"/>
  <c r="H10" i="1"/>
  <c r="H11" i="1"/>
  <c r="I12" i="1"/>
  <c r="J12" i="1" s="1"/>
  <c r="H13" i="1"/>
  <c r="H14" i="1"/>
  <c r="G7" i="1"/>
  <c r="H7" i="1"/>
  <c r="I7" i="1" s="1"/>
  <c r="G6" i="1"/>
  <c r="H6" i="1"/>
  <c r="I6" i="1" s="1"/>
  <c r="I5" i="1"/>
  <c r="J5" i="1" s="1"/>
  <c r="I11" i="1" l="1"/>
  <c r="J11" i="1" s="1"/>
  <c r="I10" i="1"/>
  <c r="J10" i="1" s="1"/>
  <c r="I9" i="1"/>
  <c r="J9" i="1" s="1"/>
  <c r="I13" i="1"/>
  <c r="J13" i="1" s="1"/>
  <c r="M13" i="1" s="1"/>
  <c r="I14" i="1"/>
  <c r="J14" i="1" s="1"/>
  <c r="M14" i="1" s="1"/>
  <c r="J6" i="1"/>
  <c r="M6" i="1"/>
  <c r="J8" i="1"/>
  <c r="J7" i="1"/>
  <c r="M5" i="1"/>
  <c r="K15" i="1" l="1"/>
  <c r="L15" i="1" a="1"/>
  <c r="L15" i="1" s="1"/>
  <c r="K12" i="1"/>
  <c r="K14" i="1"/>
  <c r="K9" i="1"/>
  <c r="K10" i="1"/>
  <c r="K11" i="1"/>
  <c r="L8" i="1" a="1"/>
  <c r="L8" i="1" s="1"/>
  <c r="K8" i="1"/>
  <c r="K7" i="1"/>
  <c r="K6" i="1"/>
  <c r="K13" i="1"/>
  <c r="K5" i="1"/>
  <c r="L7" i="1" a="1"/>
  <c r="L7" i="1" s="1"/>
  <c r="L13" i="1" a="1"/>
  <c r="L13" i="1" s="1"/>
  <c r="L6" i="1" a="1"/>
  <c r="L6" i="1" s="1"/>
  <c r="L14" i="1" a="1"/>
  <c r="L14" i="1" s="1"/>
  <c r="L9" i="1" a="1"/>
  <c r="L9" i="1" s="1"/>
  <c r="L5" i="1" a="1"/>
  <c r="L5" i="1" s="1"/>
  <c r="L10" i="1" a="1"/>
  <c r="L10" i="1" s="1"/>
  <c r="L11" i="1" a="1"/>
  <c r="L11" i="1" s="1"/>
  <c r="L12" i="1" a="1"/>
  <c r="L12" i="1" s="1"/>
</calcChain>
</file>

<file path=xl/sharedStrings.xml><?xml version="1.0" encoding="utf-8"?>
<sst xmlns="http://schemas.openxmlformats.org/spreadsheetml/2006/main" count="49" uniqueCount="45">
  <si>
    <r>
      <rPr>
        <b/>
        <sz val="18"/>
        <color rgb="FF000000"/>
        <rFont val="Century Gothic"/>
      </rPr>
      <t xml:space="preserve">Annual Leave Tracker: </t>
    </r>
    <r>
      <rPr>
        <b/>
        <i/>
        <sz val="8"/>
        <color rgb="FF000000"/>
        <rFont val="Century Gothic"/>
      </rPr>
      <t>*The available  dataset  on this sheet is fake, designed specifically to stress-test and demonstrate every rule *</t>
    </r>
    <r>
      <rPr>
        <b/>
        <sz val="18"/>
        <color rgb="FF000000"/>
        <rFont val="Century Gothic"/>
      </rPr>
      <t>.</t>
    </r>
  </si>
  <si>
    <t>Employee Name</t>
  </si>
  <si>
    <t>Date of Birth</t>
  </si>
  <si>
    <t>Department</t>
  </si>
  <si>
    <t>Date Started Working</t>
  </si>
  <si>
    <t>Leave Start Date</t>
  </si>
  <si>
    <t>Age(Years)</t>
  </si>
  <si>
    <t>Years of Service</t>
  </si>
  <si>
    <t>Annual Leave Days</t>
  </si>
  <si>
    <t>Leave End Date</t>
  </si>
  <si>
    <t>Leave Overlap Warning</t>
  </si>
  <si>
    <t>Overlaps With:</t>
  </si>
  <si>
    <t>Leave Status</t>
  </si>
  <si>
    <t>John Carter</t>
  </si>
  <si>
    <t>Finance</t>
  </si>
  <si>
    <t>Mary Collins</t>
  </si>
  <si>
    <t>Peter Lawson</t>
  </si>
  <si>
    <t>HR</t>
  </si>
  <si>
    <t>Linda Brown</t>
  </si>
  <si>
    <t>Michael Adams</t>
  </si>
  <si>
    <t>IT</t>
  </si>
  <si>
    <t>Sarah Miller</t>
  </si>
  <si>
    <t>Daniel Wright</t>
  </si>
  <si>
    <t>Operations</t>
  </si>
  <si>
    <t>Emma Johnson</t>
  </si>
  <si>
    <t>Robert Kings</t>
  </si>
  <si>
    <t>Procument</t>
  </si>
  <si>
    <t>Olivia Harris</t>
  </si>
  <si>
    <t>Procurement</t>
  </si>
  <si>
    <t>John Doe</t>
  </si>
  <si>
    <t>Management</t>
  </si>
  <si>
    <t>Holiday Name</t>
  </si>
  <si>
    <t>Gregorian Date</t>
  </si>
  <si>
    <t>Weekday</t>
  </si>
  <si>
    <t>Ethiopian Christmas Day</t>
  </si>
  <si>
    <t>Epiphany / Timkat</t>
  </si>
  <si>
    <t>Adwa Victory Day</t>
  </si>
  <si>
    <t>Eid al-Fitr (tentative)</t>
  </si>
  <si>
    <t>Ethiopian Good Friday</t>
  </si>
  <si>
    <t>International Labor Day</t>
  </si>
  <si>
    <t>Patriots’ Day</t>
  </si>
  <si>
    <t>Eid al-Adha (tentative)</t>
  </si>
  <si>
    <t>Derg Downfall Day</t>
  </si>
  <si>
    <t>Prophet’s Birthday (tentative)</t>
  </si>
  <si>
    <t>Ethiopian New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</si>
</sst>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2"/>
      <color theme="3" tint="-0.499984740745262"/>
      <name val="Calibri"/>
      <family val="2"/>
      <scheme val="minor"/>
    </font>
    <font>
      <b/>
      <sz val="11"/>
      <name val="Calibri"/>
      <family val="2"/>
      <scheme val="minor"/>
    </font>
    <font>
      <b/>
      <sz val="18"/>
      <color rgb="FF000000"/>
      <name val="Century Gothic"/>
    </font>
    <font>
      <b/>
      <i/>
      <sz val="8"/>
      <color rgb="FF000000"/>
      <name val="Century Gothi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1" fillId="0" borderId="0" xfId="0" applyFont="1"/>
    <xf numFmtId="1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horizontal="left" vertical="center" wrapText="1"/>
    </xf>
    <xf numFmtId="14" fontId="0" fillId="0" borderId="0" xfId="0" applyNumberFormat="1" applyFont="1" applyAlignment="1">
      <alignment horizontal="left" vertical="center" wrapText="1"/>
    </xf>
    <xf numFmtId="0" fontId="0" fillId="0" borderId="0" xfId="0" applyFont="1"/>
    <xf numFmtId="0" fontId="0" fillId="0" borderId="0" xfId="0" applyProtection="1">
      <protection hidden="1"/>
    </xf>
    <xf numFmtId="14" fontId="0" fillId="0" borderId="0" xfId="0" applyNumberFormat="1" applyProtection="1">
      <protection hidden="1"/>
    </xf>
    <xf numFmtId="0" fontId="0" fillId="0" borderId="0" xfId="0" applyProtection="1"/>
    <xf numFmtId="0" fontId="1" fillId="0" borderId="0" xfId="0" applyFont="1" applyProtection="1"/>
    <xf numFmtId="0" fontId="3" fillId="0" borderId="0" xfId="0" applyFont="1" applyAlignment="1">
      <alignment horizontal="left"/>
    </xf>
  </cellXfs>
  <cellStyles count="1">
    <cellStyle name="Normal" xfId="0" builtinId="0"/>
  </cellStyles>
  <dxfs count="19">
    <dxf>
      <font>
        <b val="0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m/d/yyyy"/>
      <alignment horizontal="lef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left" vertical="center" textRotation="0" wrapText="1" indent="0" justifyLastLine="0" shrinkToFit="0" readingOrder="0"/>
    </dxf>
    <dxf>
      <protection locked="1" hidden="1"/>
    </dxf>
    <dxf>
      <numFmt numFmtId="164" formatCode="m/d/yyyy"/>
      <protection locked="1" hidden="1"/>
    </dxf>
    <dxf>
      <numFmt numFmtId="164" formatCode="m/d/yyyy"/>
      <protection locked="1" hidden="1"/>
    </dxf>
    <dxf>
      <numFmt numFmtId="164" formatCode="m/d/yyyy"/>
      <protection locked="1" hidden="1"/>
    </dxf>
    <dxf>
      <numFmt numFmtId="0" formatCode="General"/>
      <protection locked="1" hidden="1"/>
    </dxf>
    <dxf>
      <protection locked="1" hidden="1"/>
    </dxf>
    <dxf>
      <protection locked="1" hidden="1"/>
    </dxf>
    <dxf>
      <numFmt numFmtId="164" formatCode="m/d/yyyy"/>
    </dxf>
    <dxf>
      <numFmt numFmtId="164" formatCode="m/d/yyyy"/>
    </dxf>
    <dxf>
      <numFmt numFmtId="164" formatCode="m/d/yyyy"/>
    </dxf>
    <dxf>
      <numFmt numFmtId="164" formatCode="m/d/yyyy"/>
    </dxf>
    <dxf>
      <font>
        <b/>
        <strike val="0"/>
        <outline val="0"/>
        <shadow val="0"/>
        <u val="none"/>
        <vertAlign val="baseline"/>
        <sz val="12"/>
        <color theme="3" tint="-0.499984740745262"/>
        <name val="Calibri"/>
        <scheme val="minor"/>
      </font>
    </dxf>
    <dxf>
      <fill>
        <patternFill>
          <bgColor theme="9" tint="0.39994506668294322"/>
        </patternFill>
      </fill>
    </dxf>
    <dxf>
      <fill>
        <patternFill patternType="solid">
          <fgColor theme="7" tint="0.39994506668294322"/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Leave" displayName="AnnualLeave" ref="B4:M24" totalsRowShown="0" headerRowDxfId="15">
  <autoFilter ref="B4:M24" xr:uid="{00000000-0009-0000-0100-000001000000}"/>
  <tableColumns count="12">
    <tableColumn id="1" xr3:uid="{00000000-0010-0000-0000-000001000000}" name="Employee Name"/>
    <tableColumn id="2" xr3:uid="{00000000-0010-0000-0000-000002000000}" name="Date of Birth" dataDxfId="14"/>
    <tableColumn id="11" xr3:uid="{00000000-0010-0000-0000-00000B000000}" name="Department" dataDxfId="13"/>
    <tableColumn id="3" xr3:uid="{00000000-0010-0000-0000-000003000000}" name="Date Started Working" dataDxfId="12"/>
    <tableColumn id="4" xr3:uid="{00000000-0010-0000-0000-000004000000}" name="Leave Start Date" dataDxfId="11"/>
    <tableColumn id="5" xr3:uid="{00000000-0010-0000-0000-000005000000}" name="Age(Years)" dataDxfId="10">
      <calculatedColumnFormula>DATEDIF(AnnualLeave[[#This Row],[Date of Birth]],TODAY(),"Y")</calculatedColumnFormula>
    </tableColumn>
    <tableColumn id="6" xr3:uid="{00000000-0010-0000-0000-000006000000}" name="Years of Service" dataDxfId="9">
      <calculatedColumnFormula>DATEDIF(AnnualLeave[[#This Row],[Date Started Working]],TODAY(),"Y")</calculatedColumnFormula>
    </tableColumn>
    <tableColumn id="7" xr3:uid="{00000000-0010-0000-0000-000007000000}" name="Annual Leave Days" dataDxfId="8">
      <calculatedColumnFormula>MIN(30,IF(AnnualLeave[[#This Row],[Years of Service]]&lt;1,0,16 + INT((AnnualLeave[[#This Row],[Years of Service]]-1)/2)))</calculatedColumnFormula>
    </tableColumn>
    <tableColumn id="8" xr3:uid="{00000000-0010-0000-0000-000008000000}" name="Leave End Date" dataDxfId="7">
      <calculatedColumnFormula>IFERROR(WORKDAY.INTL(AnnualLeave[[#This Row],[Leave Start Date]]-1,AnnualLeave[[#This Row],[Annual Leave Days]],"0000001",tbl_PublicHolidays[Gregorian Date]),0)</calculatedColumnFormula>
    </tableColumn>
    <tableColumn id="10" xr3:uid="{00000000-0010-0000-0000-00000A000000}" name="Leave Overlap Warning" dataDxfId="6">
      <calculatedColumnFormula>IF(
OR(
COUNTIFS(
AnnualLeave[Department],AnnualLeave[[#This Row],[Department]],
AnnualLeave[Leave Start Date],"&lt;="&amp;AnnualLeave[[#This Row],[Leave End Date]],
AnnualLeave[Leave End Date],"&gt;="&amp;AnnualLeave[[#This Row],[Leave Start Date]]
)&gt;1,
SUMPRODUCT(
(AnnualLeave[Department]&lt;&gt;AnnualLeave[[#This Row],[Department]])*
(
((AnnualLeave[Leave Start Date]-AnnualLeave[[#This Row],[Leave End Date]]&lt;7)*
(AnnualLeave[Leave Start Date]-AnnualLeave[[#This Row],[Leave End Date]]&gt;-7))
+
((AnnualLeave[Leave End Date]-AnnualLeave[[#This Row],[Leave Start Date]]&lt;7)*
(AnnualLeave[Leave End Date]-AnnualLeave[[#This Row],[Leave Start Date]]&gt;-7))
)
)&gt;0
),
"⚠ OVERLAPPING LEAVE",
"✔ OK"
)</calculatedColumnFormula>
    </tableColumn>
    <tableColumn id="12" xr3:uid="{00000000-0010-0000-0000-00000C000000}" name="Overlaps With:" dataDxfId="5">
      <calculatedColumnFormula array="1">IFERROR(
INDEX(AnnualLeave[Employee Name],
MATCH(TRUE,
(
(
(AnnualLeave[Department]=AnnualLeave[[#This Row],[Department]]) *
(AnnualLeave[Leave Start Date]&lt;=AnnualLeave[[#This Row],[Leave End Date]]) *
(AnnualLeave[Leave End Date]&gt;=AnnualLeave[[#This Row],[Leave Start Date]]) *
(AnnualLeave[Employee Name]&lt;&gt;AnnualLeave[[#This Row],[Employee Name]])
)
+
(
(AnnualLeave[Department]&lt;&gt;AnnualLeave[[#This Row],[Department]]) *
(
(
(ABS(AnnualLeave[Leave Start Date]-AnnualLeave[[#This Row],[Leave End Date]])&lt;7) +
(ABS(AnnualLeave[Leave End Date]-AnnualLeave[[#This Row],[Leave Start Date]])&lt;7)
) &gt; 0
) *
(AnnualLeave[Employee Name]&lt;&gt;AnnualLeave[[#This Row],[Employee Name]])
)
) &gt; 0,0)
),
""
)</calculatedColumnFormula>
    </tableColumn>
    <tableColumn id="9" xr3:uid="{00000000-0010-0000-0000-000009000000}" name="Leave Status" dataDxfId="4">
      <calculatedColumnFormula>IF(TODAY()&lt;AnnualLeave[[#This Row],[Leave Start Date]],"Scheduled",IF(TODAY()&gt;AnnualLeave[[#This Row],[Leave End Date]],"Completed","On Leave"))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PublicHolidays" displayName="tbl_PublicHolidays" ref="A1:C12" totalsRowShown="0" headerRowDxfId="3">
  <autoFilter ref="A1:C12" xr:uid="{00000000-0009-0000-0100-000002000000}"/>
  <tableColumns count="3">
    <tableColumn id="1" xr3:uid="{00000000-0010-0000-0100-000001000000}" name="Holiday Name" dataDxfId="2"/>
    <tableColumn id="2" xr3:uid="{00000000-0010-0000-0100-000002000000}" name="Gregorian Date" dataDxfId="1"/>
    <tableColumn id="4" xr3:uid="{00000000-0010-0000-0100-000004000000}" name="Weekday" dataDxfId="0">
      <calculatedColumnFormula>TEXT(tbl_PublicHolidays[[#This Row],[Gregorian Date]],"ddd")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M24"/>
  <sheetViews>
    <sheetView showGridLines="0" tabSelected="1" zoomScale="90" zoomScaleNormal="90" workbookViewId="0">
      <selection activeCell="G16" sqref="G16"/>
    </sheetView>
  </sheetViews>
  <sheetFormatPr defaultRowHeight="15"/>
  <cols>
    <col min="1" max="1" width="3.5703125" customWidth="1"/>
    <col min="2" max="2" width="22" bestFit="1" customWidth="1"/>
    <col min="3" max="4" width="16" customWidth="1"/>
    <col min="5" max="5" width="25.140625" customWidth="1"/>
    <col min="6" max="6" width="21.28515625" customWidth="1"/>
    <col min="7" max="7" width="13.5703125" style="11" customWidth="1"/>
    <col min="8" max="8" width="18.7109375" customWidth="1"/>
    <col min="9" max="9" width="21.85546875" customWidth="1"/>
    <col min="10" max="10" width="18.42578125" customWidth="1"/>
    <col min="11" max="11" width="26.5703125" bestFit="1" customWidth="1"/>
    <col min="12" max="13" width="26.5703125" customWidth="1"/>
  </cols>
  <sheetData>
    <row r="2" spans="1:13" ht="22.5">
      <c r="B2" s="13" t="s">
        <v>0</v>
      </c>
      <c r="C2" s="13"/>
      <c r="D2" s="13"/>
      <c r="E2" s="13"/>
      <c r="F2" s="13"/>
      <c r="G2" s="13"/>
      <c r="H2" s="13"/>
    </row>
    <row r="4" spans="1:13" ht="15.75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1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</row>
    <row r="5" spans="1:13">
      <c r="A5" s="3">
        <v>1</v>
      </c>
      <c r="B5" t="s">
        <v>13</v>
      </c>
      <c r="C5" s="1">
        <v>31120</v>
      </c>
      <c r="D5" s="1" t="s">
        <v>14</v>
      </c>
      <c r="E5" s="1">
        <v>40188</v>
      </c>
      <c r="F5" s="1">
        <v>46056</v>
      </c>
      <c r="G5" s="9">
        <f ca="1">DATEDIF(AnnualLeave[[#This Row],[Date of Birth]],TODAY(),"Y")</f>
        <v>40</v>
      </c>
      <c r="H5" s="9">
        <f ca="1">DATEDIF(AnnualLeave[[#This Row],[Date Started Working]],TODAY(),"Y")</f>
        <v>16</v>
      </c>
      <c r="I5" s="9">
        <f ca="1">MIN(30,IF(AnnualLeave[[#This Row],[Years of Service]]&lt;1,0,16 + INT((AnnualLeave[[#This Row],[Years of Service]]-1)/2)))</f>
        <v>23</v>
      </c>
      <c r="J5" s="10">
        <f ca="1">IFERROR(WORKDAY.INTL(AnnualLeave[[#This Row],[Leave Start Date]]-1,AnnualLeave[[#This Row],[Annual Leave Days]],"0000001",tbl_PublicHolidays[Gregorian Date]),0)</f>
        <v>46081</v>
      </c>
      <c r="K5" s="10" t="str">
        <f ca="1">IF(
OR(
COUNTIFS(
AnnualLeave[Department],AnnualLeave[[#This Row],[Department]],
AnnualLeave[Leave Start Date],"&lt;="&amp;AnnualLeave[[#This Row],[Leave End Date]],
AnnualLeave[Leave End Date],"&gt;="&amp;AnnualLeave[[#This Row],[Leave Start Date]]
)&gt;1,
SUMPRODUCT(
(AnnualLeave[Department]&lt;&gt;AnnualLeave[[#This Row],[Department]])*
(
((AnnualLeave[Leave Start Date]-AnnualLeave[[#This Row],[Leave End Date]]&lt;7)*
(AnnualLeave[Leave Start Date]-AnnualLeave[[#This Row],[Leave End Date]]&gt;-7))
+
((AnnualLeave[Leave End Date]-AnnualLeave[[#This Row],[Leave Start Date]]&lt;7)*
(AnnualLeave[Leave End Date]-AnnualLeave[[#This Row],[Leave Start Date]]&gt;-7))
)
)&gt;0
),
"⚠ OVERLAPPING LEAVE",
"✔ OK"
)</f>
        <v>⚠ OVERLAPPING LEAVE</v>
      </c>
      <c r="L5" s="10" t="str">
        <f t="array" aca="1" ref="L5" ca="1">IFERROR(
INDEX(AnnualLeave[Employee Name],
MATCH(TRUE,
(
(
(AnnualLeave[Department]=AnnualLeave[[#This Row],[Department]]) *
(AnnualLeave[Leave Start Date]&lt;=AnnualLeave[[#This Row],[Leave End Date]]) *
(AnnualLeave[Leave End Date]&gt;=AnnualLeave[[#This Row],[Leave Start Date]]) *
(AnnualLeave[Employee Name]&lt;&gt;AnnualLeave[[#This Row],[Employee Name]])
)
+
(
(AnnualLeave[Department]&lt;&gt;AnnualLeave[[#This Row],[Department]]) *
(
(
(ABS(AnnualLeave[Leave Start Date]-AnnualLeave[[#This Row],[Leave End Date]])&lt;7) +
(ABS(AnnualLeave[Leave End Date]-AnnualLeave[[#This Row],[Leave Start Date]])&lt;7)
) &gt; 0
) *
(AnnualLeave[Employee Name]&lt;&gt;AnnualLeave[[#This Row],[Employee Name]])
)
) &gt; 0,0)
),
""
)</f>
        <v>Mary Collins</v>
      </c>
      <c r="M5" s="9" t="str">
        <f ca="1">IF(TODAY()&lt;AnnualLeave[[#This Row],[Leave Start Date]],"Scheduled",IF(TODAY()&gt;AnnualLeave[[#This Row],[Leave End Date]],"Completed","On Leave"))</f>
        <v>Scheduled</v>
      </c>
    </row>
    <row r="6" spans="1:13">
      <c r="A6" s="3">
        <v>2</v>
      </c>
      <c r="B6" t="s">
        <v>15</v>
      </c>
      <c r="C6" s="1">
        <v>33076</v>
      </c>
      <c r="D6" s="1" t="s">
        <v>14</v>
      </c>
      <c r="E6" s="1">
        <v>41791</v>
      </c>
      <c r="F6" s="1">
        <v>46063</v>
      </c>
      <c r="G6" s="9">
        <f ca="1">DATEDIF(AnnualLeave[[#This Row],[Date of Birth]],TODAY(),"Y")</f>
        <v>35</v>
      </c>
      <c r="H6" s="9">
        <f ca="1">DATEDIF(AnnualLeave[[#This Row],[Date Started Working]],TODAY(),"Y")</f>
        <v>11</v>
      </c>
      <c r="I6" s="9">
        <f ca="1">MIN(30,IF(AnnualLeave[[#This Row],[Years of Service]]&lt;1,0,16 + INT((AnnualLeave[[#This Row],[Years of Service]]-1)/2)))</f>
        <v>21</v>
      </c>
      <c r="J6" s="10">
        <f ca="1">IFERROR(WORKDAY.INTL(AnnualLeave[[#This Row],[Leave Start Date]]-1,AnnualLeave[[#This Row],[Annual Leave Days]],"0000001",tbl_PublicHolidays[Gregorian Date]),0)</f>
        <v>46087</v>
      </c>
      <c r="K6" s="10" t="str">
        <f ca="1">IF(
OR(
COUNTIFS(
AnnualLeave[Department],AnnualLeave[[#This Row],[Department]],
AnnualLeave[Leave Start Date],"&lt;="&amp;AnnualLeave[[#This Row],[Leave End Date]],
AnnualLeave[Leave End Date],"&gt;="&amp;AnnualLeave[[#This Row],[Leave Start Date]]
)&gt;1,
SUMPRODUCT(
(AnnualLeave[Department]&lt;&gt;AnnualLeave[[#This Row],[Department]])*
(
((AnnualLeave[Leave Start Date]-AnnualLeave[[#This Row],[Leave End Date]]&lt;7)*
(AnnualLeave[Leave Start Date]-AnnualLeave[[#This Row],[Leave End Date]]&gt;-7))
+
((AnnualLeave[Leave End Date]-AnnualLeave[[#This Row],[Leave Start Date]]&lt;7)*
(AnnualLeave[Leave End Date]-AnnualLeave[[#This Row],[Leave Start Date]]&gt;-7))
)
)&gt;0
),
"⚠ OVERLAPPING LEAVE",
"✔ OK"
)</f>
        <v>⚠ OVERLAPPING LEAVE</v>
      </c>
      <c r="L6" s="10" t="str">
        <f t="array" aca="1" ref="L6" ca="1">IFERROR(
INDEX(AnnualLeave[Employee Name],
MATCH(TRUE,
(
(
(AnnualLeave[Department]=AnnualLeave[[#This Row],[Department]]) *
(AnnualLeave[Leave Start Date]&lt;=AnnualLeave[[#This Row],[Leave End Date]]) *
(AnnualLeave[Leave End Date]&gt;=AnnualLeave[[#This Row],[Leave Start Date]]) *
(AnnualLeave[Employee Name]&lt;&gt;AnnualLeave[[#This Row],[Employee Name]])
)
+
(
(AnnualLeave[Department]&lt;&gt;AnnualLeave[[#This Row],[Department]]) *
(
(
(ABS(AnnualLeave[Leave Start Date]-AnnualLeave[[#This Row],[Leave End Date]])&lt;7) +
(ABS(AnnualLeave[Leave End Date]-AnnualLeave[[#This Row],[Leave Start Date]])&lt;7)
) &gt; 0
) *
(AnnualLeave[Employee Name]&lt;&gt;AnnualLeave[[#This Row],[Employee Name]])
)
) &gt; 0,0)
),
""
)</f>
        <v>John Carter</v>
      </c>
      <c r="M6" s="9" t="str">
        <f ca="1">IF(TODAY()&lt;AnnualLeave[[#This Row],[Leave Start Date]],"Scheduled",IF(TODAY()&gt;AnnualLeave[[#This Row],[Leave End Date]],"Completed","On Leave"))</f>
        <v>Scheduled</v>
      </c>
    </row>
    <row r="7" spans="1:13">
      <c r="A7" s="3">
        <v>3</v>
      </c>
      <c r="B7" t="s">
        <v>16</v>
      </c>
      <c r="C7" s="1">
        <v>31058</v>
      </c>
      <c r="D7" s="1" t="s">
        <v>17</v>
      </c>
      <c r="E7" s="1">
        <v>39522</v>
      </c>
      <c r="F7" s="1">
        <v>46061</v>
      </c>
      <c r="G7" s="9">
        <f ca="1">DATEDIF(AnnualLeave[[#This Row],[Date of Birth]],TODAY(),"Y")</f>
        <v>41</v>
      </c>
      <c r="H7" s="9">
        <f ca="1">DATEDIF(AnnualLeave[[#This Row],[Date Started Working]],TODAY(),"Y")</f>
        <v>17</v>
      </c>
      <c r="I7" s="9">
        <f ca="1">MIN(30,IF(AnnualLeave[[#This Row],[Years of Service]]&lt;1,0,16 + INT((AnnualLeave[[#This Row],[Years of Service]]-1)/2)))</f>
        <v>24</v>
      </c>
      <c r="J7" s="10">
        <f ca="1">IFERROR(WORKDAY.INTL(AnnualLeave[[#This Row],[Leave Start Date]]-1,AnnualLeave[[#This Row],[Annual Leave Days]],"0000001",tbl_PublicHolidays[Gregorian Date]),0)</f>
        <v>46090</v>
      </c>
      <c r="K7" s="10" t="str">
        <f ca="1">IF(
OR(
COUNTIFS(
AnnualLeave[Department],AnnualLeave[[#This Row],[Department]],
AnnualLeave[Leave Start Date],"&lt;="&amp;AnnualLeave[[#This Row],[Leave End Date]],
AnnualLeave[Leave End Date],"&gt;="&amp;AnnualLeave[[#This Row],[Leave Start Date]]
)&gt;1,
SUMPRODUCT(
(AnnualLeave[Department]&lt;&gt;AnnualLeave[[#This Row],[Department]])*
(
((AnnualLeave[Leave Start Date]-AnnualLeave[[#This Row],[Leave End Date]]&lt;7)*
(AnnualLeave[Leave Start Date]-AnnualLeave[[#This Row],[Leave End Date]]&gt;-7))
+
((AnnualLeave[Leave End Date]-AnnualLeave[[#This Row],[Leave Start Date]]&lt;7)*
(AnnualLeave[Leave End Date]-AnnualLeave[[#This Row],[Leave Start Date]]&gt;-7))
)
)&gt;0
),
"⚠ OVERLAPPING LEAVE",
"✔ OK"
)</f>
        <v>⚠ OVERLAPPING LEAVE</v>
      </c>
      <c r="L7" s="10" t="str">
        <f t="array" aca="1" ref="L7" ca="1">IFERROR(
INDEX(AnnualLeave[Employee Name],
MATCH(TRUE,
(
(
(AnnualLeave[Department]=AnnualLeave[[#This Row],[Department]]) *
(AnnualLeave[Leave Start Date]&lt;=AnnualLeave[[#This Row],[Leave End Date]]) *
(AnnualLeave[Leave End Date]&gt;=AnnualLeave[[#This Row],[Leave Start Date]]) *
(AnnualLeave[Employee Name]&lt;&gt;AnnualLeave[[#This Row],[Employee Name]])
)
+
(
(AnnualLeave[Department]&lt;&gt;AnnualLeave[[#This Row],[Department]]) *
(
(
(ABS(AnnualLeave[Leave Start Date]-AnnualLeave[[#This Row],[Leave End Date]])&lt;7) +
(ABS(AnnualLeave[Leave End Date]-AnnualLeave[[#This Row],[Leave Start Date]])&lt;7)
) &gt; 0
) *
(AnnualLeave[Employee Name]&lt;&gt;AnnualLeave[[#This Row],[Employee Name]])
)
) &gt; 0,0)
),
""
)</f>
        <v>Linda Brown</v>
      </c>
      <c r="M7" s="9" t="str">
        <f ca="1">IF(TODAY()&lt;AnnualLeave[[#This Row],[Leave Start Date]],"Scheduled",IF(TODAY()&gt;AnnualLeave[[#This Row],[Leave End Date]],"Completed","On Leave"))</f>
        <v>Scheduled</v>
      </c>
    </row>
    <row r="8" spans="1:13">
      <c r="A8" s="3">
        <v>4</v>
      </c>
      <c r="B8" t="s">
        <v>18</v>
      </c>
      <c r="C8" s="1">
        <v>32172</v>
      </c>
      <c r="D8" t="s">
        <v>17</v>
      </c>
      <c r="E8" s="1">
        <v>42633</v>
      </c>
      <c r="F8" s="1">
        <v>46078</v>
      </c>
      <c r="G8" s="9">
        <f ca="1">DATEDIF(AnnualLeave[[#This Row],[Date of Birth]],TODAY(),"Y")</f>
        <v>38</v>
      </c>
      <c r="H8" s="9">
        <f ca="1">DATEDIF(AnnualLeave[[#This Row],[Date Started Working]],TODAY(),"Y")</f>
        <v>9</v>
      </c>
      <c r="I8" s="9">
        <f ca="1">MIN(30,IF(AnnualLeave[[#This Row],[Years of Service]]&lt;1,0,16 + INT((AnnualLeave[[#This Row],[Years of Service]]-1)/2)))</f>
        <v>20</v>
      </c>
      <c r="J8" s="10">
        <f ca="1">IFERROR(WORKDAY.INTL(AnnualLeave[[#This Row],[Leave Start Date]]-1,AnnualLeave[[#This Row],[Annual Leave Days]],"0000001",tbl_PublicHolidays[Gregorian Date]),0)</f>
        <v>46102</v>
      </c>
      <c r="K8" s="10" t="str">
        <f ca="1">IF(
OR(
COUNTIFS(
AnnualLeave[Department],AnnualLeave[[#This Row],[Department]],
AnnualLeave[Leave Start Date],"&lt;="&amp;AnnualLeave[[#This Row],[Leave End Date]],
AnnualLeave[Leave End Date],"&gt;="&amp;AnnualLeave[[#This Row],[Leave Start Date]]
)&gt;1,
SUMPRODUCT(
(AnnualLeave[Department]&lt;&gt;AnnualLeave[[#This Row],[Department]])*
(
((AnnualLeave[Leave Start Date]-AnnualLeave[[#This Row],[Leave End Date]]&lt;7)*
(AnnualLeave[Leave Start Date]-AnnualLeave[[#This Row],[Leave End Date]]&gt;-7))
+
((AnnualLeave[Leave End Date]-AnnualLeave[[#This Row],[Leave Start Date]]&lt;7)*
(AnnualLeave[Leave End Date]-AnnualLeave[[#This Row],[Leave Start Date]]&gt;-7))
)
)&gt;0
),
"⚠ OVERLAPPING LEAVE",
"✔ OK"
)</f>
        <v>⚠ OVERLAPPING LEAVE</v>
      </c>
      <c r="L8" s="10" t="str">
        <f t="array" aca="1" ref="L8" ca="1">IFERROR(
INDEX(AnnualLeave[Employee Name],
MATCH(TRUE,
(
(
(AnnualLeave[Department]=AnnualLeave[[#This Row],[Department]]) *
(AnnualLeave[Leave Start Date]&lt;=AnnualLeave[[#This Row],[Leave End Date]]) *
(AnnualLeave[Leave End Date]&gt;=AnnualLeave[[#This Row],[Leave Start Date]]) *
(AnnualLeave[Employee Name]&lt;&gt;AnnualLeave[[#This Row],[Employee Name]])
)
+
(
(AnnualLeave[Department]&lt;&gt;AnnualLeave[[#This Row],[Department]]) *
(
(
(ABS(AnnualLeave[Leave Start Date]-AnnualLeave[[#This Row],[Leave End Date]])&lt;7) +
(ABS(AnnualLeave[Leave End Date]-AnnualLeave[[#This Row],[Leave Start Date]])&lt;7)
) &gt; 0
) *
(AnnualLeave[Employee Name]&lt;&gt;AnnualLeave[[#This Row],[Employee Name]])
)
) &gt; 0,0)
),
""
)</f>
        <v>John Carter</v>
      </c>
      <c r="M8" s="9" t="str">
        <f ca="1">IF(TODAY()&lt;AnnualLeave[[#This Row],[Leave Start Date]],"Scheduled",IF(TODAY()&gt;AnnualLeave[[#This Row],[Leave End Date]],"Completed","On Leave"))</f>
        <v>Scheduled</v>
      </c>
    </row>
    <row r="9" spans="1:13">
      <c r="A9" s="3">
        <v>5</v>
      </c>
      <c r="B9" t="s">
        <v>19</v>
      </c>
      <c r="C9" s="1">
        <v>28993</v>
      </c>
      <c r="D9" s="1" t="s">
        <v>20</v>
      </c>
      <c r="E9" s="1">
        <v>38384</v>
      </c>
      <c r="F9" s="1">
        <v>46286</v>
      </c>
      <c r="G9" s="9">
        <f ca="1">DATEDIF(AnnualLeave[[#This Row],[Date of Birth]],TODAY(),"Y")</f>
        <v>46</v>
      </c>
      <c r="H9" s="9">
        <f ca="1">DATEDIF(AnnualLeave[[#This Row],[Date Started Working]],TODAY(),"Y")</f>
        <v>20</v>
      </c>
      <c r="I9" s="9">
        <f ca="1">MIN(30,IF(AnnualLeave[[#This Row],[Years of Service]]&lt;1,0,16 + INT((AnnualLeave[[#This Row],[Years of Service]]-1)/2)))</f>
        <v>25</v>
      </c>
      <c r="J9" s="10">
        <f ca="1">IFERROR(WORKDAY.INTL(AnnualLeave[[#This Row],[Leave Start Date]]-1,AnnualLeave[[#This Row],[Annual Leave Days]],"0000001",tbl_PublicHolidays[Gregorian Date]),0)</f>
        <v>46314</v>
      </c>
      <c r="K9" s="10" t="str">
        <f ca="1">IF(
OR(
COUNTIFS(
AnnualLeave[Department],AnnualLeave[[#This Row],[Department]],
AnnualLeave[Leave Start Date],"&lt;="&amp;AnnualLeave[[#This Row],[Leave End Date]],
AnnualLeave[Leave End Date],"&gt;="&amp;AnnualLeave[[#This Row],[Leave Start Date]]
)&gt;1,
SUMPRODUCT(
(AnnualLeave[Department]&lt;&gt;AnnualLeave[[#This Row],[Department]])*
(
((AnnualLeave[Leave Start Date]-AnnualLeave[[#This Row],[Leave End Date]]&lt;7)*
(AnnualLeave[Leave Start Date]-AnnualLeave[[#This Row],[Leave End Date]]&gt;-7))
+
((AnnualLeave[Leave End Date]-AnnualLeave[[#This Row],[Leave Start Date]]&lt;7)*
(AnnualLeave[Leave End Date]-AnnualLeave[[#This Row],[Leave Start Date]]&gt;-7))
)
)&gt;0
),
"⚠ OVERLAPPING LEAVE",
"✔ OK"
)</f>
        <v>✔ OK</v>
      </c>
      <c r="L9" s="10" t="str">
        <f t="array" aca="1" ref="L9" ca="1">IFERROR(
INDEX(AnnualLeave[Employee Name],
MATCH(TRUE,
(
(
(AnnualLeave[Department]=AnnualLeave[[#This Row],[Department]]) *
(AnnualLeave[Leave Start Date]&lt;=AnnualLeave[[#This Row],[Leave End Date]]) *
(AnnualLeave[Leave End Date]&gt;=AnnualLeave[[#This Row],[Leave Start Date]]) *
(AnnualLeave[Employee Name]&lt;&gt;AnnualLeave[[#This Row],[Employee Name]])
)
+
(
(AnnualLeave[Department]&lt;&gt;AnnualLeave[[#This Row],[Department]]) *
(
(
(ABS(AnnualLeave[Leave Start Date]-AnnualLeave[[#This Row],[Leave End Date]])&lt;7) +
(ABS(AnnualLeave[Leave End Date]-AnnualLeave[[#This Row],[Leave Start Date]])&lt;7)
) &gt; 0
) *
(AnnualLeave[Employee Name]&lt;&gt;AnnualLeave[[#This Row],[Employee Name]])
)
) &gt; 0,0)
),
""
)</f>
        <v/>
      </c>
      <c r="M9" s="9" t="str">
        <f ca="1">IF(TODAY()&lt;AnnualLeave[[#This Row],[Leave Start Date]],"Scheduled",IF(TODAY()&gt;AnnualLeave[[#This Row],[Leave End Date]],"Completed","On Leave"))</f>
        <v>Scheduled</v>
      </c>
    </row>
    <row r="10" spans="1:13">
      <c r="A10" s="3">
        <v>6</v>
      </c>
      <c r="B10" t="s">
        <v>21</v>
      </c>
      <c r="C10" s="1">
        <v>34221</v>
      </c>
      <c r="D10" s="1" t="s">
        <v>20</v>
      </c>
      <c r="E10" s="1">
        <v>43845</v>
      </c>
      <c r="F10" s="1">
        <v>46086</v>
      </c>
      <c r="G10" s="9">
        <f ca="1">DATEDIF(AnnualLeave[[#This Row],[Date of Birth]],TODAY(),"Y")</f>
        <v>32</v>
      </c>
      <c r="H10" s="9">
        <f ca="1">DATEDIF(AnnualLeave[[#This Row],[Date Started Working]],TODAY(),"Y")</f>
        <v>6</v>
      </c>
      <c r="I10" s="9">
        <f ca="1">MIN(30,IF(AnnualLeave[[#This Row],[Years of Service]]&lt;1,0,16 + INT((AnnualLeave[[#This Row],[Years of Service]]-1)/2)))</f>
        <v>18</v>
      </c>
      <c r="J10" s="10">
        <f ca="1">IFERROR(WORKDAY.INTL(AnnualLeave[[#This Row],[Leave Start Date]]-1,AnnualLeave[[#This Row],[Annual Leave Days]],"0000001",tbl_PublicHolidays[Gregorian Date]),0)</f>
        <v>46107</v>
      </c>
      <c r="K10" s="10" t="str">
        <f ca="1">IF(
OR(
COUNTIFS(
AnnualLeave[Department],AnnualLeave[[#This Row],[Department]],
AnnualLeave[Leave Start Date],"&lt;="&amp;AnnualLeave[[#This Row],[Leave End Date]],
AnnualLeave[Leave End Date],"&gt;="&amp;AnnualLeave[[#This Row],[Leave Start Date]]
)&gt;1,
SUMPRODUCT(
(AnnualLeave[Department]&lt;&gt;AnnualLeave[[#This Row],[Department]])*
(
((AnnualLeave[Leave Start Date]-AnnualLeave[[#This Row],[Leave End Date]]&lt;7)*
(AnnualLeave[Leave Start Date]-AnnualLeave[[#This Row],[Leave End Date]]&gt;-7))
+
((AnnualLeave[Leave End Date]-AnnualLeave[[#This Row],[Leave Start Date]]&lt;7)*
(AnnualLeave[Leave End Date]-AnnualLeave[[#This Row],[Leave Start Date]]&gt;-7))
)
)&gt;0
),
"⚠ OVERLAPPING LEAVE",
"✔ OK"
)</f>
        <v>⚠ OVERLAPPING LEAVE</v>
      </c>
      <c r="L10" s="10" t="str">
        <f t="array" aca="1" ref="L10" ca="1">IFERROR(
INDEX(AnnualLeave[Employee Name],
MATCH(TRUE,
(
(
(AnnualLeave[Department]=AnnualLeave[[#This Row],[Department]]) *
(AnnualLeave[Leave Start Date]&lt;=AnnualLeave[[#This Row],[Leave End Date]]) *
(AnnualLeave[Leave End Date]&gt;=AnnualLeave[[#This Row],[Leave Start Date]]) *
(AnnualLeave[Employee Name]&lt;&gt;AnnualLeave[[#This Row],[Employee Name]])
)
+
(
(AnnualLeave[Department]&lt;&gt;AnnualLeave[[#This Row],[Department]]) *
(
(
(ABS(AnnualLeave[Leave Start Date]-AnnualLeave[[#This Row],[Leave End Date]])&lt;7) +
(ABS(AnnualLeave[Leave End Date]-AnnualLeave[[#This Row],[Leave Start Date]])&lt;7)
) &gt; 0
) *
(AnnualLeave[Employee Name]&lt;&gt;AnnualLeave[[#This Row],[Employee Name]])
)
) &gt; 0,0)
),
""
)</f>
        <v>John Carter</v>
      </c>
      <c r="M10" s="9" t="str">
        <f ca="1">IF(TODAY()&lt;AnnualLeave[[#This Row],[Leave Start Date]],"Scheduled",IF(TODAY()&gt;AnnualLeave[[#This Row],[Leave End Date]],"Completed","On Leave"))</f>
        <v>Scheduled</v>
      </c>
    </row>
    <row r="11" spans="1:13">
      <c r="A11" s="3">
        <v>7</v>
      </c>
      <c r="B11" t="s">
        <v>22</v>
      </c>
      <c r="C11" s="1">
        <v>31028</v>
      </c>
      <c r="D11" t="s">
        <v>23</v>
      </c>
      <c r="E11" s="1">
        <v>41009</v>
      </c>
      <c r="F11" s="1">
        <v>46181</v>
      </c>
      <c r="G11" s="9">
        <f ca="1">DATEDIF(AnnualLeave[[#This Row],[Date of Birth]],TODAY(),"Y")</f>
        <v>41</v>
      </c>
      <c r="H11" s="9">
        <f ca="1">DATEDIF(AnnualLeave[[#This Row],[Date Started Working]],TODAY(),"Y")</f>
        <v>13</v>
      </c>
      <c r="I11" s="9">
        <f ca="1">MIN(30,IF(AnnualLeave[[#This Row],[Years of Service]]&lt;1,0,16 + INT((AnnualLeave[[#This Row],[Years of Service]]-1)/2)))</f>
        <v>22</v>
      </c>
      <c r="J11" s="10">
        <f ca="1">IFERROR(WORKDAY.INTL(AnnualLeave[[#This Row],[Leave Start Date]]-1,AnnualLeave[[#This Row],[Annual Leave Days]],"0000001",tbl_PublicHolidays[Gregorian Date]),0)</f>
        <v>46205</v>
      </c>
      <c r="K11" s="10" t="str">
        <f ca="1">IF(
OR(
COUNTIFS(
AnnualLeave[Department],AnnualLeave[[#This Row],[Department]],
AnnualLeave[Leave Start Date],"&lt;="&amp;AnnualLeave[[#This Row],[Leave End Date]],
AnnualLeave[Leave End Date],"&gt;="&amp;AnnualLeave[[#This Row],[Leave Start Date]]
)&gt;1,
SUMPRODUCT(
(AnnualLeave[Department]&lt;&gt;AnnualLeave[[#This Row],[Department]])*
(
((AnnualLeave[Leave Start Date]-AnnualLeave[[#This Row],[Leave End Date]]&lt;7)*
(AnnualLeave[Leave Start Date]-AnnualLeave[[#This Row],[Leave End Date]]&gt;-7))
+
((AnnualLeave[Leave End Date]-AnnualLeave[[#This Row],[Leave Start Date]]&lt;7)*
(AnnualLeave[Leave End Date]-AnnualLeave[[#This Row],[Leave Start Date]]&gt;-7))
)
)&gt;0
),
"⚠ OVERLAPPING LEAVE",
"✔ OK"
)</f>
        <v>⚠ OVERLAPPING LEAVE</v>
      </c>
      <c r="L11" s="10" t="str">
        <f t="array" aca="1" ref="L11" ca="1">IFERROR(
INDEX(AnnualLeave[Employee Name],
MATCH(TRUE,
(
(
(AnnualLeave[Department]=AnnualLeave[[#This Row],[Department]]) *
(AnnualLeave[Leave Start Date]&lt;=AnnualLeave[[#This Row],[Leave End Date]]) *
(AnnualLeave[Leave End Date]&gt;=AnnualLeave[[#This Row],[Leave Start Date]]) *
(AnnualLeave[Employee Name]&lt;&gt;AnnualLeave[[#This Row],[Employee Name]])
)
+
(
(AnnualLeave[Department]&lt;&gt;AnnualLeave[[#This Row],[Department]]) *
(
(
(ABS(AnnualLeave[Leave Start Date]-AnnualLeave[[#This Row],[Leave End Date]])&lt;7) +
(ABS(AnnualLeave[Leave End Date]-AnnualLeave[[#This Row],[Leave Start Date]])&lt;7)
) &gt; 0
) *
(AnnualLeave[Employee Name]&lt;&gt;AnnualLeave[[#This Row],[Employee Name]])
)
) &gt; 0,0)
),
""
)</f>
        <v>Emma Johnson</v>
      </c>
      <c r="M11" s="9" t="str">
        <f ca="1">IF(TODAY()&lt;AnnualLeave[[#This Row],[Leave Start Date]],"Scheduled",IF(TODAY()&gt;AnnualLeave[[#This Row],[Leave End Date]],"Completed","On Leave"))</f>
        <v>Scheduled</v>
      </c>
    </row>
    <row r="12" spans="1:13">
      <c r="A12" s="3">
        <v>8</v>
      </c>
      <c r="B12" t="s">
        <v>24</v>
      </c>
      <c r="C12" s="1">
        <v>33395</v>
      </c>
      <c r="D12" t="s">
        <v>23</v>
      </c>
      <c r="E12" s="1">
        <v>42970</v>
      </c>
      <c r="F12" s="1">
        <v>46182</v>
      </c>
      <c r="G12" s="9">
        <f ca="1">DATEDIF(AnnualLeave[[#This Row],[Date of Birth]],TODAY(),"Y")</f>
        <v>34</v>
      </c>
      <c r="H12" s="9">
        <f ca="1">DATEDIF(AnnualLeave[[#This Row],[Date Started Working]],TODAY(),"Y")</f>
        <v>8</v>
      </c>
      <c r="I12" s="9">
        <f ca="1">MIN(30,IF(AnnualLeave[[#This Row],[Years of Service]]&lt;1,0,16 + INT((AnnualLeave[[#This Row],[Years of Service]]-1)/2)))</f>
        <v>19</v>
      </c>
      <c r="J12" s="10">
        <f ca="1">IFERROR(WORKDAY.INTL(AnnualLeave[[#This Row],[Leave Start Date]]-1,AnnualLeave[[#This Row],[Annual Leave Days]],"0000001",tbl_PublicHolidays[Gregorian Date]),0)</f>
        <v>46203</v>
      </c>
      <c r="K12" s="10" t="str">
        <f ca="1">IF(
OR(
COUNTIFS(
AnnualLeave[Department],AnnualLeave[[#This Row],[Department]],
AnnualLeave[Leave Start Date],"&lt;="&amp;AnnualLeave[[#This Row],[Leave End Date]],
AnnualLeave[Leave End Date],"&gt;="&amp;AnnualLeave[[#This Row],[Leave Start Date]]
)&gt;1,
SUMPRODUCT(
(AnnualLeave[Department]&lt;&gt;AnnualLeave[[#This Row],[Department]])*
(
((AnnualLeave[Leave Start Date]-AnnualLeave[[#This Row],[Leave End Date]]&lt;7)*
(AnnualLeave[Leave Start Date]-AnnualLeave[[#This Row],[Leave End Date]]&gt;-7))
+
((AnnualLeave[Leave End Date]-AnnualLeave[[#This Row],[Leave Start Date]]&lt;7)*
(AnnualLeave[Leave End Date]-AnnualLeave[[#This Row],[Leave Start Date]]&gt;-7))
)
)&gt;0
),
"⚠ OVERLAPPING LEAVE",
"✔ OK"
)</f>
        <v>⚠ OVERLAPPING LEAVE</v>
      </c>
      <c r="L12" s="10" t="str">
        <f t="array" aca="1" ref="L12" ca="1">IFERROR(
INDEX(AnnualLeave[Employee Name],
MATCH(TRUE,
(
(
(AnnualLeave[Department]=AnnualLeave[[#This Row],[Department]]) *
(AnnualLeave[Leave Start Date]&lt;=AnnualLeave[[#This Row],[Leave End Date]]) *
(AnnualLeave[Leave End Date]&gt;=AnnualLeave[[#This Row],[Leave Start Date]]) *
(AnnualLeave[Employee Name]&lt;&gt;AnnualLeave[[#This Row],[Employee Name]])
)
+
(
(AnnualLeave[Department]&lt;&gt;AnnualLeave[[#This Row],[Department]]) *
(
(
(ABS(AnnualLeave[Leave Start Date]-AnnualLeave[[#This Row],[Leave End Date]])&lt;7) +
(ABS(AnnualLeave[Leave End Date]-AnnualLeave[[#This Row],[Leave Start Date]])&lt;7)
) &gt; 0
) *
(AnnualLeave[Employee Name]&lt;&gt;AnnualLeave[[#This Row],[Employee Name]])
)
) &gt; 0,0)
),
""
)</f>
        <v>Daniel Wright</v>
      </c>
      <c r="M12" s="9" t="str">
        <f ca="1">IF(TODAY()&lt;AnnualLeave[[#This Row],[Leave Start Date]],"Scheduled",IF(TODAY()&gt;AnnualLeave[[#This Row],[Leave End Date]],"Completed","On Leave"))</f>
        <v>Scheduled</v>
      </c>
    </row>
    <row r="13" spans="1:13">
      <c r="A13" s="3">
        <v>9</v>
      </c>
      <c r="B13" t="s">
        <v>25</v>
      </c>
      <c r="C13" s="1">
        <v>28034</v>
      </c>
      <c r="D13" s="1" t="s">
        <v>26</v>
      </c>
      <c r="E13" s="1">
        <v>36526</v>
      </c>
      <c r="F13" s="1">
        <v>46183</v>
      </c>
      <c r="G13" s="9">
        <f ca="1">DATEDIF(AnnualLeave[[#This Row],[Date of Birth]],TODAY(),"Y")</f>
        <v>49</v>
      </c>
      <c r="H13" s="9">
        <f ca="1">DATEDIF(AnnualLeave[[#This Row],[Date Started Working]],TODAY(),"Y")</f>
        <v>26</v>
      </c>
      <c r="I13" s="9">
        <f ca="1">MIN(30,IF(AnnualLeave[[#This Row],[Years of Service]]&lt;1,0,16 + INT((AnnualLeave[[#This Row],[Years of Service]]-1)/2)))</f>
        <v>28</v>
      </c>
      <c r="J13" s="10">
        <f ca="1">IFERROR(WORKDAY.INTL(AnnualLeave[[#This Row],[Leave Start Date]]-1,AnnualLeave[[#This Row],[Annual Leave Days]],"0000001",tbl_PublicHolidays[Gregorian Date]),0)</f>
        <v>46214</v>
      </c>
      <c r="K13" s="10" t="str">
        <f ca="1">IF(
OR(
COUNTIFS(
AnnualLeave[Department],AnnualLeave[[#This Row],[Department]],
AnnualLeave[Leave Start Date],"&lt;="&amp;AnnualLeave[[#This Row],[Leave End Date]],
AnnualLeave[Leave End Date],"&gt;="&amp;AnnualLeave[[#This Row],[Leave Start Date]]
)&gt;1,
SUMPRODUCT(
(AnnualLeave[Department]&lt;&gt;AnnualLeave[[#This Row],[Department]])*
(
((AnnualLeave[Leave Start Date]-AnnualLeave[[#This Row],[Leave End Date]]&lt;7)*
(AnnualLeave[Leave Start Date]-AnnualLeave[[#This Row],[Leave End Date]]&gt;-7))
+
((AnnualLeave[Leave End Date]-AnnualLeave[[#This Row],[Leave Start Date]]&lt;7)*
(AnnualLeave[Leave End Date]-AnnualLeave[[#This Row],[Leave Start Date]]&gt;-7))
)
)&gt;0
),
"⚠ OVERLAPPING LEAVE",
"✔ OK"
)</f>
        <v>✔ OK</v>
      </c>
      <c r="L13" s="10" t="str">
        <f t="array" aca="1" ref="L13" ca="1">IFERROR(
INDEX(AnnualLeave[Employee Name],
MATCH(TRUE,
(
(
(AnnualLeave[Department]=AnnualLeave[[#This Row],[Department]]) *
(AnnualLeave[Leave Start Date]&lt;=AnnualLeave[[#This Row],[Leave End Date]]) *
(AnnualLeave[Leave End Date]&gt;=AnnualLeave[[#This Row],[Leave Start Date]]) *
(AnnualLeave[Employee Name]&lt;&gt;AnnualLeave[[#This Row],[Employee Name]])
)
+
(
(AnnualLeave[Department]&lt;&gt;AnnualLeave[[#This Row],[Department]]) *
(
(
(ABS(AnnualLeave[Leave Start Date]-AnnualLeave[[#This Row],[Leave End Date]])&lt;7) +
(ABS(AnnualLeave[Leave End Date]-AnnualLeave[[#This Row],[Leave Start Date]])&lt;7)
) &gt; 0
) *
(AnnualLeave[Employee Name]&lt;&gt;AnnualLeave[[#This Row],[Employee Name]])
)
) &gt; 0,0)
),
""
)</f>
        <v/>
      </c>
      <c r="M13" s="9" t="str">
        <f ca="1">IF(TODAY()&lt;AnnualLeave[[#This Row],[Leave Start Date]],"Scheduled",IF(TODAY()&gt;AnnualLeave[[#This Row],[Leave End Date]],"Completed","On Leave"))</f>
        <v>Scheduled</v>
      </c>
    </row>
    <row r="14" spans="1:13">
      <c r="A14" s="3">
        <v>10</v>
      </c>
      <c r="B14" t="s">
        <v>27</v>
      </c>
      <c r="C14" s="1">
        <v>34757</v>
      </c>
      <c r="D14" s="1" t="s">
        <v>28</v>
      </c>
      <c r="E14" s="1">
        <v>44691</v>
      </c>
      <c r="F14" s="1">
        <v>46050</v>
      </c>
      <c r="G14" s="9">
        <f ca="1">DATEDIF(AnnualLeave[[#This Row],[Date of Birth]],TODAY(),"Y")</f>
        <v>30</v>
      </c>
      <c r="H14" s="9">
        <f ca="1">DATEDIF(AnnualLeave[[#This Row],[Date Started Working]],TODAY(),"Y")</f>
        <v>3</v>
      </c>
      <c r="I14" s="9">
        <f ca="1">MIN(30,IF(AnnualLeave[[#This Row],[Years of Service]]&lt;1,0,16 + INT((AnnualLeave[[#This Row],[Years of Service]]-1)/2)))</f>
        <v>17</v>
      </c>
      <c r="J14" s="10">
        <f ca="1">IFERROR(WORKDAY.INTL(AnnualLeave[[#This Row],[Leave Start Date]]-1,AnnualLeave[[#This Row],[Annual Leave Days]],"0000001",tbl_PublicHolidays[Gregorian Date]),0)</f>
        <v>46069</v>
      </c>
      <c r="K14" s="10" t="str">
        <f ca="1">IF(
OR(
COUNTIFS(
AnnualLeave[Department],AnnualLeave[[#This Row],[Department]],
AnnualLeave[Leave Start Date],"&lt;="&amp;AnnualLeave[[#This Row],[Leave End Date]],
AnnualLeave[Leave End Date],"&gt;="&amp;AnnualLeave[[#This Row],[Leave Start Date]]
)&gt;1,
SUMPRODUCT(
(AnnualLeave[Department]&lt;&gt;AnnualLeave[[#This Row],[Department]])*
(
((AnnualLeave[Leave Start Date]-AnnualLeave[[#This Row],[Leave End Date]]&lt;7)*
(AnnualLeave[Leave Start Date]-AnnualLeave[[#This Row],[Leave End Date]]&gt;-7))
+
((AnnualLeave[Leave End Date]-AnnualLeave[[#This Row],[Leave Start Date]]&lt;7)*
(AnnualLeave[Leave End Date]-AnnualLeave[[#This Row],[Leave Start Date]]&gt;-7))
)
)&gt;0
),
"⚠ OVERLAPPING LEAVE",
"✔ OK"
)</f>
        <v>⚠ OVERLAPPING LEAVE</v>
      </c>
      <c r="L14" s="10" t="str">
        <f t="array" aca="1" ref="L14" ca="1">IFERROR(
INDEX(AnnualLeave[Employee Name],
MATCH(TRUE,
(
(
(AnnualLeave[Department]=AnnualLeave[[#This Row],[Department]]) *
(AnnualLeave[Leave Start Date]&lt;=AnnualLeave[[#This Row],[Leave End Date]]) *
(AnnualLeave[Leave End Date]&gt;=AnnualLeave[[#This Row],[Leave Start Date]]) *
(AnnualLeave[Employee Name]&lt;&gt;AnnualLeave[[#This Row],[Employee Name]])
)
+
(
(AnnualLeave[Department]&lt;&gt;AnnualLeave[[#This Row],[Department]]) *
(
(
(ABS(AnnualLeave[Leave Start Date]-AnnualLeave[[#This Row],[Leave End Date]])&lt;7) +
(ABS(AnnualLeave[Leave End Date]-AnnualLeave[[#This Row],[Leave Start Date]])&lt;7)
) &gt; 0
) *
(AnnualLeave[Employee Name]&lt;&gt;AnnualLeave[[#This Row],[Employee Name]])
)
) &gt; 0,0)
),
""
)</f>
        <v>Mary Collins</v>
      </c>
      <c r="M14" s="9" t="str">
        <f ca="1">IF(TODAY()&lt;AnnualLeave[[#This Row],[Leave Start Date]],"Scheduled",IF(TODAY()&gt;AnnualLeave[[#This Row],[Leave End Date]],"Completed","On Leave"))</f>
        <v>On Leave</v>
      </c>
    </row>
    <row r="15" spans="1:13">
      <c r="A15" s="3">
        <v>11</v>
      </c>
      <c r="B15" t="s">
        <v>29</v>
      </c>
      <c r="C15" s="1">
        <v>29202</v>
      </c>
      <c r="D15" s="1" t="s">
        <v>30</v>
      </c>
      <c r="E15" s="1">
        <v>44360</v>
      </c>
      <c r="F15" s="1">
        <v>46042</v>
      </c>
      <c r="G15" s="9">
        <f ca="1">DATEDIF(AnnualLeave[[#This Row],[Date of Birth]],TODAY(),"Y")</f>
        <v>46</v>
      </c>
      <c r="H15" s="9">
        <f ca="1">DATEDIF(AnnualLeave[[#This Row],[Date Started Working]],TODAY(),"Y")</f>
        <v>4</v>
      </c>
      <c r="I15" s="9">
        <f ca="1">MIN(30,IF(AnnualLeave[[#This Row],[Years of Service]]&lt;1,0,16 + INT((AnnualLeave[[#This Row],[Years of Service]]-1)/2)))</f>
        <v>17</v>
      </c>
      <c r="J15" s="10">
        <f ca="1">IFERROR(WORKDAY.INTL(AnnualLeave[[#This Row],[Leave Start Date]]-1,AnnualLeave[[#This Row],[Annual Leave Days]],"0000001",tbl_PublicHolidays[Gregorian Date]),0)</f>
        <v>46060</v>
      </c>
      <c r="K15" s="10" t="str">
        <f ca="1">IF(
OR(
COUNTIFS(
AnnualLeave[Department],AnnualLeave[[#This Row],[Department]],
AnnualLeave[Leave Start Date],"&lt;="&amp;AnnualLeave[[#This Row],[Leave End Date]],
AnnualLeave[Leave End Date],"&gt;="&amp;AnnualLeave[[#This Row],[Leave Start Date]]
)&gt;1,
SUMPRODUCT(
(AnnualLeave[Department]&lt;&gt;AnnualLeave[[#This Row],[Department]])*
(
((AnnualLeave[Leave Start Date]-AnnualLeave[[#This Row],[Leave End Date]]&lt;7)*
(AnnualLeave[Leave Start Date]-AnnualLeave[[#This Row],[Leave End Date]]&gt;-7))
+
((AnnualLeave[Leave End Date]-AnnualLeave[[#This Row],[Leave Start Date]]&lt;7)*
(AnnualLeave[Leave End Date]-AnnualLeave[[#This Row],[Leave Start Date]]&gt;-7))
)
)&gt;0
),
"⚠ OVERLAPPING LEAVE",
"✔ OK"
)</f>
        <v>⚠ OVERLAPPING LEAVE</v>
      </c>
      <c r="L15" s="10" t="str">
        <f t="array" aca="1" ref="L15" ca="1">IFERROR(
INDEX(AnnualLeave[Employee Name],
MATCH(TRUE,
(
(
(AnnualLeave[Department]=AnnualLeave[[#This Row],[Department]]) *
(AnnualLeave[Leave Start Date]&lt;=AnnualLeave[[#This Row],[Leave End Date]]) *
(AnnualLeave[Leave End Date]&gt;=AnnualLeave[[#This Row],[Leave Start Date]]) *
(AnnualLeave[Employee Name]&lt;&gt;AnnualLeave[[#This Row],[Employee Name]])
)
+
(
(AnnualLeave[Department]&lt;&gt;AnnualLeave[[#This Row],[Department]]) *
(
(
(ABS(AnnualLeave[Leave Start Date]-AnnualLeave[[#This Row],[Leave End Date]])&lt;7) +
(ABS(AnnualLeave[Leave End Date]-AnnualLeave[[#This Row],[Leave Start Date]])&lt;7)
) &gt; 0
) *
(AnnualLeave[Employee Name]&lt;&gt;AnnualLeave[[#This Row],[Employee Name]])
)
) &gt; 0,0)
),
""
)</f>
        <v>John Carter</v>
      </c>
      <c r="M15" s="9" t="str">
        <f ca="1">IF(TODAY()&lt;AnnualLeave[[#This Row],[Leave Start Date]],"Scheduled",IF(TODAY()&gt;AnnualLeave[[#This Row],[Leave End Date]],"Completed","On Leave"))</f>
        <v>On Leave</v>
      </c>
    </row>
    <row r="16" spans="1:13">
      <c r="A16" s="3"/>
      <c r="C16" s="1"/>
      <c r="D16" s="1"/>
      <c r="E16" s="1"/>
      <c r="F16" s="1"/>
      <c r="G16" s="9"/>
      <c r="H16" s="9"/>
      <c r="I16" s="9"/>
      <c r="J16" s="10"/>
      <c r="K16" s="10"/>
      <c r="L16" s="10"/>
      <c r="M16" s="9"/>
    </row>
    <row r="17" spans="1:13">
      <c r="A17" s="3"/>
      <c r="C17" s="1"/>
      <c r="D17" s="1"/>
      <c r="E17" s="1"/>
      <c r="F17" s="1"/>
      <c r="G17" s="9"/>
      <c r="H17" s="9"/>
      <c r="I17" s="9"/>
      <c r="J17" s="10"/>
      <c r="K17" s="10"/>
      <c r="L17" s="10"/>
      <c r="M17" s="9"/>
    </row>
    <row r="18" spans="1:13">
      <c r="A18" s="3"/>
      <c r="C18" s="1"/>
      <c r="D18" s="1"/>
      <c r="E18" s="1"/>
      <c r="F18" s="1"/>
      <c r="G18" s="9"/>
      <c r="H18" s="9"/>
      <c r="I18" s="9"/>
      <c r="J18" s="10"/>
      <c r="K18" s="10"/>
      <c r="L18" s="10"/>
      <c r="M18" s="9"/>
    </row>
    <row r="19" spans="1:13">
      <c r="A19" s="3"/>
      <c r="C19" s="1"/>
      <c r="D19" s="1"/>
      <c r="E19" s="1"/>
      <c r="F19" s="1"/>
      <c r="G19" s="9"/>
      <c r="H19" s="9"/>
      <c r="I19" s="9"/>
      <c r="J19" s="10"/>
      <c r="K19" s="10"/>
      <c r="L19" s="10"/>
      <c r="M19" s="9"/>
    </row>
    <row r="20" spans="1:13">
      <c r="A20" s="3"/>
      <c r="C20" s="1"/>
      <c r="D20" s="1"/>
      <c r="E20" s="1"/>
      <c r="F20" s="1"/>
      <c r="G20" s="9"/>
      <c r="H20" s="9"/>
      <c r="I20" s="9"/>
      <c r="J20" s="10"/>
      <c r="K20" s="10"/>
      <c r="L20" s="10"/>
      <c r="M20" s="9"/>
    </row>
    <row r="21" spans="1:13">
      <c r="A21" s="3"/>
      <c r="C21" s="1"/>
      <c r="D21" s="1"/>
      <c r="E21" s="1"/>
      <c r="F21" s="1"/>
      <c r="G21" s="9"/>
      <c r="H21" s="9"/>
      <c r="I21" s="9"/>
      <c r="J21" s="10"/>
      <c r="K21" s="10"/>
      <c r="L21" s="10"/>
      <c r="M21" s="9"/>
    </row>
    <row r="22" spans="1:13">
      <c r="A22" s="3"/>
      <c r="C22" s="1"/>
      <c r="D22" s="1"/>
      <c r="E22" s="1"/>
      <c r="F22" s="1"/>
      <c r="G22" s="9"/>
      <c r="H22" s="9"/>
      <c r="I22" s="9"/>
      <c r="J22" s="10"/>
      <c r="K22" s="10"/>
      <c r="L22" s="10"/>
      <c r="M22" s="9"/>
    </row>
    <row r="23" spans="1:13">
      <c r="A23" s="3"/>
      <c r="C23" s="1"/>
      <c r="D23" s="1"/>
      <c r="E23" s="1"/>
      <c r="F23" s="1"/>
      <c r="G23" s="9"/>
      <c r="H23" s="9"/>
      <c r="I23" s="9"/>
      <c r="J23" s="10"/>
      <c r="K23" s="10"/>
      <c r="L23" s="10"/>
      <c r="M23" s="9"/>
    </row>
    <row r="24" spans="1:13">
      <c r="A24" s="3"/>
      <c r="C24" s="1"/>
      <c r="D24" s="1"/>
      <c r="E24" s="1"/>
      <c r="F24" s="1"/>
      <c r="G24" s="9"/>
      <c r="H24" s="9"/>
      <c r="I24" s="9"/>
      <c r="J24" s="10"/>
      <c r="K24" s="10"/>
      <c r="L24" s="10"/>
      <c r="M24" s="9"/>
    </row>
  </sheetData>
  <sheetProtection sheet="1" objects="1" scenarios="1"/>
  <mergeCells count="1">
    <mergeCell ref="B2:H2"/>
  </mergeCells>
  <conditionalFormatting sqref="I5:I24">
    <cfRule type="cellIs" dxfId="18" priority="3" operator="greaterThan">
      <formula>25</formula>
    </cfRule>
  </conditionalFormatting>
  <conditionalFormatting sqref="K4:L24">
    <cfRule type="containsText" dxfId="17" priority="2" stopIfTrue="1" operator="containsText" text="OVERLAPPING">
      <formula>NOT(ISERROR(SEARCH("OVERLAPPING",K4)))</formula>
    </cfRule>
  </conditionalFormatting>
  <conditionalFormatting sqref="I5:I24">
    <cfRule type="cellIs" dxfId="16" priority="1" operator="greaterThan">
      <formula>30</formula>
    </cfRule>
  </conditionalFormatting>
  <dataValidations count="2">
    <dataValidation type="date" operator="greaterThan" allowBlank="1" showInputMessage="1" showErrorMessage="1" sqref="F16:F24" xr:uid="{00000000-0002-0000-0000-000000000000}">
      <formula1>TODAY()</formula1>
    </dataValidation>
    <dataValidation allowBlank="1" showInputMessage="1" showErrorMessage="1" sqref="F5:F14 F15" xr:uid="{60E7712A-56AA-476E-8AB0-45EF1E54912C}"/>
  </dataValidations>
  <pageMargins left="0.25" right="0.25" top="0.75" bottom="0.75" header="0.3" footer="0.3"/>
  <pageSetup orientation="landscape" verticalDpi="0" r:id="rId1"/>
  <ignoredErrors>
    <ignoredError sqref="G6:J14 I5 L5:M5 L6:M14" unlockedFormula="1"/>
  </ignoredError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workbookViewId="0">
      <selection activeCell="C22" sqref="C22"/>
    </sheetView>
  </sheetViews>
  <sheetFormatPr defaultColWidth="25.28515625" defaultRowHeight="15"/>
  <cols>
    <col min="1" max="1" width="28" bestFit="1" customWidth="1"/>
    <col min="2" max="2" width="16.85546875" bestFit="1" customWidth="1"/>
  </cols>
  <sheetData>
    <row r="1" spans="1:3">
      <c r="A1" s="6" t="s">
        <v>31</v>
      </c>
      <c r="B1" s="6" t="s">
        <v>32</v>
      </c>
      <c r="C1" s="6" t="s">
        <v>33</v>
      </c>
    </row>
    <row r="2" spans="1:3">
      <c r="A2" s="4" t="s">
        <v>34</v>
      </c>
      <c r="B2" s="7">
        <v>46029</v>
      </c>
      <c r="C2" s="8" t="str">
        <f>TEXT(tbl_PublicHolidays[[#This Row],[Gregorian Date]],"ddd")</f>
        <v>Wed</v>
      </c>
    </row>
    <row r="3" spans="1:3">
      <c r="A3" s="4" t="s">
        <v>35</v>
      </c>
      <c r="B3" s="7">
        <v>46041</v>
      </c>
      <c r="C3" s="8" t="str">
        <f>TEXT(tbl_PublicHolidays[[#This Row],[Gregorian Date]],"ddd")</f>
        <v>Mon</v>
      </c>
    </row>
    <row r="4" spans="1:3">
      <c r="A4" s="4" t="s">
        <v>36</v>
      </c>
      <c r="B4" s="7">
        <v>46083</v>
      </c>
      <c r="C4" s="8" t="str">
        <f>TEXT(tbl_PublicHolidays[[#This Row],[Gregorian Date]],"ddd")</f>
        <v>Mon</v>
      </c>
    </row>
    <row r="5" spans="1:3">
      <c r="A5" s="4" t="s">
        <v>37</v>
      </c>
      <c r="B5" s="7">
        <v>46101</v>
      </c>
      <c r="C5" s="8" t="str">
        <f>TEXT(tbl_PublicHolidays[[#This Row],[Gregorian Date]],"ddd")</f>
        <v>Fri</v>
      </c>
    </row>
    <row r="6" spans="1:3">
      <c r="A6" s="4" t="s">
        <v>38</v>
      </c>
      <c r="B6" s="7">
        <v>46122</v>
      </c>
      <c r="C6" s="8" t="str">
        <f>TEXT(tbl_PublicHolidays[[#This Row],[Gregorian Date]],"ddd")</f>
        <v>Fri</v>
      </c>
    </row>
    <row r="7" spans="1:3">
      <c r="A7" s="4" t="s">
        <v>39</v>
      </c>
      <c r="B7" s="7">
        <v>46143</v>
      </c>
      <c r="C7" s="8" t="str">
        <f>TEXT(tbl_PublicHolidays[[#This Row],[Gregorian Date]],"ddd")</f>
        <v>Fri</v>
      </c>
    </row>
    <row r="8" spans="1:3">
      <c r="A8" s="4" t="s">
        <v>40</v>
      </c>
      <c r="B8" s="7">
        <v>46147</v>
      </c>
      <c r="C8" s="8" t="str">
        <f>TEXT(tbl_PublicHolidays[[#This Row],[Gregorian Date]],"ddd")</f>
        <v>Tue</v>
      </c>
    </row>
    <row r="9" spans="1:3">
      <c r="A9" s="4" t="s">
        <v>41</v>
      </c>
      <c r="B9" s="7">
        <v>46169</v>
      </c>
      <c r="C9" s="8" t="str">
        <f>TEXT(tbl_PublicHolidays[[#This Row],[Gregorian Date]],"ddd")</f>
        <v>Wed</v>
      </c>
    </row>
    <row r="10" spans="1:3">
      <c r="A10" s="4" t="s">
        <v>42</v>
      </c>
      <c r="B10" s="7">
        <v>46170</v>
      </c>
      <c r="C10" s="8" t="str">
        <f>TEXT(tbl_PublicHolidays[[#This Row],[Gregorian Date]],"ddd")</f>
        <v>Thu</v>
      </c>
    </row>
    <row r="11" spans="1:3">
      <c r="A11" s="5" t="s">
        <v>43</v>
      </c>
      <c r="B11" s="7">
        <v>46260</v>
      </c>
      <c r="C11" s="8" t="str">
        <f>TEXT(tbl_PublicHolidays[[#This Row],[Gregorian Date]],"ddd")</f>
        <v>Wed</v>
      </c>
    </row>
    <row r="12" spans="1:3">
      <c r="A12" s="4" t="s">
        <v>44</v>
      </c>
      <c r="B12" s="7">
        <v>46276</v>
      </c>
      <c r="C12" s="8" t="str">
        <f>TEXT(tbl_PublicHolidays[[#This Row],[Gregorian Date]],"ddd")</f>
        <v>Fri</v>
      </c>
    </row>
  </sheetData>
  <pageMargins left="0.7" right="0.7" top="0.75" bottom="0.75" header="0.3" footer="0.3"/>
  <pageSetup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cp:keywords/>
  <dc:description/>
  <cp:lastModifiedBy/>
  <cp:revision/>
  <dcterms:created xsi:type="dcterms:W3CDTF">2026-01-22T12:23:23Z</dcterms:created>
  <dcterms:modified xsi:type="dcterms:W3CDTF">2026-01-31T04:26:57Z</dcterms:modified>
  <cp:category/>
  <cp:contentStatus/>
</cp:coreProperties>
</file>